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<sst xmlns="http://schemas.openxmlformats.org/spreadsheetml/2006/main" count="29" uniqueCount="21">
  <si>
    <t>Student Name</t>
  </si>
  <si>
    <t>Roll No</t>
  </si>
  <si>
    <t>Gender</t>
  </si>
  <si>
    <t>Subject 1</t>
  </si>
  <si>
    <t>Subject 2</t>
  </si>
  <si>
    <t>Subject 3</t>
  </si>
  <si>
    <t>Total</t>
  </si>
  <si>
    <t>Average</t>
  </si>
  <si>
    <t>Grade</t>
  </si>
  <si>
    <t>Bilal Ahmed</t>
  </si>
  <si>
    <t>M</t>
  </si>
  <si>
    <t>Maryam Zafar</t>
  </si>
  <si>
    <t>F</t>
  </si>
  <si>
    <t>Sara Malik</t>
  </si>
  <si>
    <t>Ayesha Khan</t>
  </si>
  <si>
    <t>Usman Khalid</t>
  </si>
  <si>
    <t>Ali Raza</t>
  </si>
  <si>
    <t>Fatima Noor</t>
  </si>
  <si>
    <t>Ahmed Farooq</t>
  </si>
  <si>
    <t>Hamza Tariq</t>
  </si>
  <si>
    <t>Hira Iqbal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</si>
</sst>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Aptos Narrow"/>
    </font>
    <font>
      <sz val="11.0"/>
      <color rgb="FF000000"/>
      <name val="Calibri"/>
    </font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Font="1"/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Sheet1!$G$2:$G$11</c:f>
              <c:numCache/>
            </c:numRef>
          </c:val>
        </c:ser>
        <c:axId val="1412843394"/>
        <c:axId val="785584609"/>
      </c:barChart>
      <c:catAx>
        <c:axId val="1412843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5584609"/>
      </c:catAx>
      <c:valAx>
        <c:axId val="785584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843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0</xdr:row>
      <xdr:rowOff>180975</xdr:rowOff>
    </xdr:from>
    <xdr:ext cx="5400675" cy="2428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>
      <c r="A2" s="4" t="s">
        <v>9</v>
      </c>
      <c r="B2" s="5">
        <v>102.0</v>
      </c>
      <c r="C2" s="4" t="s">
        <v>10</v>
      </c>
      <c r="D2" s="5">
        <v>92.0</v>
      </c>
      <c r="E2" s="5">
        <v>88.0</v>
      </c>
      <c r="F2" s="5">
        <v>90.0</v>
      </c>
      <c r="G2" s="5">
        <f t="shared" ref="G2:G11" si="1">SUM(C2:F2)</f>
        <v>270</v>
      </c>
      <c r="H2" s="5">
        <f t="shared" ref="H2:H11" si="2">AVERAGE(G2/3)</f>
        <v>90</v>
      </c>
      <c r="I2" s="6" t="str">
        <f t="shared" ref="I2:I11" si="3">IF(H2&gt;=80,"A",IF(H2&gt;=60,"B","C"))</f>
        <v>A</v>
      </c>
      <c r="J2" s="5"/>
      <c r="K2" s="4"/>
      <c r="L2" s="5"/>
      <c r="M2" s="5"/>
      <c r="N2" s="5"/>
      <c r="O2" s="5"/>
      <c r="P2" s="5"/>
      <c r="Q2" s="4"/>
      <c r="R2" s="7"/>
    </row>
    <row r="3">
      <c r="A3" s="4" t="s">
        <v>11</v>
      </c>
      <c r="B3" s="5">
        <v>107.0</v>
      </c>
      <c r="C3" s="4" t="s">
        <v>12</v>
      </c>
      <c r="D3" s="5">
        <v>88.0</v>
      </c>
      <c r="E3" s="5">
        <v>90.0</v>
      </c>
      <c r="F3" s="5">
        <v>85.0</v>
      </c>
      <c r="G3" s="5">
        <f t="shared" si="1"/>
        <v>263</v>
      </c>
      <c r="H3" s="5">
        <f t="shared" si="2"/>
        <v>87.66666667</v>
      </c>
      <c r="I3" s="6" t="str">
        <f t="shared" si="3"/>
        <v>A</v>
      </c>
      <c r="J3" s="5"/>
      <c r="K3" s="4"/>
      <c r="L3" s="5"/>
      <c r="M3" s="5"/>
      <c r="N3" s="5"/>
      <c r="O3" s="5"/>
      <c r="P3" s="5"/>
      <c r="Q3" s="4"/>
      <c r="R3" s="7"/>
    </row>
    <row r="4">
      <c r="A4" s="4" t="s">
        <v>13</v>
      </c>
      <c r="B4" s="5">
        <v>105.0</v>
      </c>
      <c r="C4" s="4" t="s">
        <v>12</v>
      </c>
      <c r="D4" s="5">
        <v>81.0</v>
      </c>
      <c r="E4" s="5">
        <v>79.0</v>
      </c>
      <c r="F4" s="5">
        <v>85.0</v>
      </c>
      <c r="G4" s="5">
        <f t="shared" si="1"/>
        <v>245</v>
      </c>
      <c r="H4" s="5">
        <f t="shared" si="2"/>
        <v>81.66666667</v>
      </c>
      <c r="I4" s="6" t="str">
        <f t="shared" si="3"/>
        <v>A</v>
      </c>
      <c r="J4" s="5"/>
      <c r="K4" s="4"/>
      <c r="L4" s="5"/>
      <c r="M4" s="5"/>
      <c r="N4" s="5"/>
      <c r="O4" s="5"/>
      <c r="P4" s="5"/>
      <c r="Q4" s="4"/>
      <c r="R4" s="7"/>
    </row>
    <row r="5">
      <c r="A5" s="4" t="s">
        <v>14</v>
      </c>
      <c r="B5" s="5">
        <v>101.0</v>
      </c>
      <c r="C5" s="4" t="s">
        <v>12</v>
      </c>
      <c r="D5" s="5">
        <v>78.0</v>
      </c>
      <c r="E5" s="5">
        <v>85.0</v>
      </c>
      <c r="F5" s="5">
        <v>74.0</v>
      </c>
      <c r="G5" s="5">
        <f t="shared" si="1"/>
        <v>237</v>
      </c>
      <c r="H5" s="5">
        <f t="shared" si="2"/>
        <v>79</v>
      </c>
      <c r="I5" s="6" t="str">
        <f t="shared" si="3"/>
        <v>B</v>
      </c>
      <c r="J5" s="2"/>
      <c r="K5" s="2"/>
      <c r="L5" s="2"/>
      <c r="M5" s="2"/>
      <c r="N5" s="2"/>
      <c r="O5" s="2"/>
      <c r="P5" s="2"/>
      <c r="Q5" s="2"/>
      <c r="R5" s="3"/>
    </row>
    <row r="6">
      <c r="A6" s="4" t="s">
        <v>15</v>
      </c>
      <c r="B6" s="5">
        <v>110.0</v>
      </c>
      <c r="C6" s="4" t="s">
        <v>10</v>
      </c>
      <c r="D6" s="5">
        <v>77.0</v>
      </c>
      <c r="E6" s="5">
        <v>80.0</v>
      </c>
      <c r="F6" s="5">
        <v>74.0</v>
      </c>
      <c r="G6" s="5">
        <f t="shared" si="1"/>
        <v>231</v>
      </c>
      <c r="H6" s="5">
        <f t="shared" si="2"/>
        <v>77</v>
      </c>
      <c r="I6" s="6" t="str">
        <f t="shared" si="3"/>
        <v>B</v>
      </c>
      <c r="J6" s="5"/>
      <c r="K6" s="4"/>
      <c r="L6" s="5"/>
      <c r="M6" s="5"/>
      <c r="N6" s="5"/>
      <c r="O6" s="5"/>
      <c r="P6" s="5"/>
      <c r="Q6" s="4"/>
      <c r="R6" s="7"/>
    </row>
    <row r="7">
      <c r="A7" s="4" t="s">
        <v>16</v>
      </c>
      <c r="B7" s="5">
        <v>106.0</v>
      </c>
      <c r="C7" s="4" t="s">
        <v>10</v>
      </c>
      <c r="D7" s="5">
        <v>73.0</v>
      </c>
      <c r="E7" s="5">
        <v>69.0</v>
      </c>
      <c r="F7" s="5">
        <v>75.0</v>
      </c>
      <c r="G7" s="5">
        <f t="shared" si="1"/>
        <v>217</v>
      </c>
      <c r="H7" s="5">
        <f t="shared" si="2"/>
        <v>72.33333333</v>
      </c>
      <c r="I7" s="6" t="str">
        <f t="shared" si="3"/>
        <v>B</v>
      </c>
      <c r="J7" s="5"/>
      <c r="K7" s="4"/>
      <c r="L7" s="5"/>
      <c r="M7" s="5"/>
      <c r="N7" s="5"/>
      <c r="O7" s="5"/>
      <c r="P7" s="5"/>
      <c r="Q7" s="8"/>
      <c r="R7" s="7"/>
    </row>
    <row r="8">
      <c r="A8" s="4" t="s">
        <v>17</v>
      </c>
      <c r="B8" s="5">
        <v>103.0</v>
      </c>
      <c r="C8" s="4" t="s">
        <v>12</v>
      </c>
      <c r="D8" s="5">
        <v>65.0</v>
      </c>
      <c r="E8" s="5">
        <v>70.0</v>
      </c>
      <c r="F8" s="5">
        <v>68.0</v>
      </c>
      <c r="G8" s="5">
        <f t="shared" si="1"/>
        <v>203</v>
      </c>
      <c r="H8" s="5">
        <f t="shared" si="2"/>
        <v>67.66666667</v>
      </c>
      <c r="I8" s="6" t="str">
        <f t="shared" si="3"/>
        <v>B</v>
      </c>
      <c r="J8" s="5"/>
      <c r="K8" s="4"/>
      <c r="L8" s="5"/>
      <c r="M8" s="5"/>
      <c r="N8" s="5"/>
      <c r="O8" s="5"/>
      <c r="P8" s="5"/>
      <c r="Q8" s="8"/>
      <c r="R8" s="7"/>
    </row>
    <row r="9">
      <c r="A9" s="4" t="s">
        <v>18</v>
      </c>
      <c r="B9" s="5">
        <v>108.0</v>
      </c>
      <c r="C9" s="4" t="s">
        <v>10</v>
      </c>
      <c r="D9" s="5">
        <v>61.0</v>
      </c>
      <c r="E9" s="5">
        <v>64.0</v>
      </c>
      <c r="F9" s="5">
        <v>59.0</v>
      </c>
      <c r="G9" s="5">
        <f t="shared" si="1"/>
        <v>184</v>
      </c>
      <c r="H9" s="5">
        <f t="shared" si="2"/>
        <v>61.33333333</v>
      </c>
      <c r="I9" s="6" t="str">
        <f t="shared" si="3"/>
        <v>B</v>
      </c>
      <c r="J9" s="5"/>
      <c r="K9" s="4"/>
      <c r="L9" s="5"/>
      <c r="M9" s="5"/>
      <c r="N9" s="5"/>
      <c r="O9" s="5"/>
      <c r="P9" s="5"/>
      <c r="Q9" s="8"/>
      <c r="R9" s="7"/>
    </row>
    <row r="10">
      <c r="A10" s="4" t="s">
        <v>19</v>
      </c>
      <c r="B10" s="5">
        <v>104.0</v>
      </c>
      <c r="C10" s="4" t="s">
        <v>10</v>
      </c>
      <c r="D10" s="5">
        <v>55.0</v>
      </c>
      <c r="E10" s="5">
        <v>58.0</v>
      </c>
      <c r="F10" s="5">
        <v>60.0</v>
      </c>
      <c r="G10" s="5">
        <f t="shared" si="1"/>
        <v>173</v>
      </c>
      <c r="H10" s="5">
        <f t="shared" si="2"/>
        <v>57.66666667</v>
      </c>
      <c r="I10" s="6" t="str">
        <f t="shared" si="3"/>
        <v>C</v>
      </c>
      <c r="J10" s="5"/>
      <c r="K10" s="4"/>
      <c r="L10" s="5"/>
      <c r="M10" s="5"/>
      <c r="N10" s="5"/>
      <c r="O10" s="5"/>
      <c r="P10" s="5"/>
      <c r="Q10" s="4"/>
      <c r="R10" s="7"/>
    </row>
    <row r="11">
      <c r="A11" s="4" t="s">
        <v>20</v>
      </c>
      <c r="B11" s="5">
        <v>109.0</v>
      </c>
      <c r="C11" s="4" t="s">
        <v>12</v>
      </c>
      <c r="D11" s="5">
        <v>49.0</v>
      </c>
      <c r="E11" s="5">
        <v>55.0</v>
      </c>
      <c r="F11" s="5">
        <v>53.0</v>
      </c>
      <c r="G11" s="5">
        <f t="shared" si="1"/>
        <v>157</v>
      </c>
      <c r="H11" s="5">
        <f t="shared" si="2"/>
        <v>52.33333333</v>
      </c>
      <c r="I11" s="6" t="str">
        <f t="shared" si="3"/>
        <v>C</v>
      </c>
      <c r="J11" s="5"/>
      <c r="K11" s="4"/>
      <c r="L11" s="5"/>
      <c r="M11" s="5"/>
      <c r="N11" s="5"/>
      <c r="O11" s="5"/>
      <c r="P11" s="5"/>
      <c r="Q11" s="4"/>
      <c r="R11" s="7"/>
    </row>
    <row r="12">
      <c r="I12" s="4"/>
      <c r="J12" s="5"/>
      <c r="K12" s="4"/>
      <c r="L12" s="5"/>
      <c r="M12" s="5"/>
      <c r="N12" s="5"/>
      <c r="O12" s="5"/>
      <c r="P12" s="5"/>
      <c r="Q12" s="4"/>
      <c r="R12" s="7"/>
    </row>
  </sheetData>
  <conditionalFormatting sqref="I2:I11">
    <cfRule type="containsText" dxfId="0" priority="1" operator="containsText" text="A">
      <formula>NOT(ISERROR(SEARCH(("A"),(I2))))</formula>
    </cfRule>
  </conditionalFormatting>
  <conditionalFormatting sqref="I2:I11">
    <cfRule type="containsText" dxfId="1" priority="2" operator="containsText" text="C">
      <formula>NOT(ISERROR(SEARCH(("C"),(I2))))</formula>
    </cfRule>
  </conditionalFormatting>
  <drawing r:id="rId1"/>
</worksheet>
</file>